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D1\MyIITMandi!\Academics\Courses\SCEE\2015 Data Mining For Decision Making\Lectures\Week11\"/>
    </mc:Choice>
  </mc:AlternateContent>
  <bookViews>
    <workbookView xWindow="120" yWindow="30" windowWidth="8400" windowHeight="2400"/>
  </bookViews>
  <sheets>
    <sheet name="AICBICChiSquared" sheetId="1" r:id="rId1"/>
  </sheets>
  <calcPr calcId="152511"/>
</workbook>
</file>

<file path=xl/calcChain.xml><?xml version="1.0" encoding="utf-8"?>
<calcChain xmlns="http://schemas.openxmlformats.org/spreadsheetml/2006/main">
  <c r="E3" i="1" l="1"/>
  <c r="E4" i="1" l="1"/>
  <c r="E5" i="1"/>
  <c r="H22" i="1"/>
  <c r="H23" i="1"/>
  <c r="H24" i="1"/>
  <c r="H21" i="1"/>
  <c r="H20" i="1"/>
  <c r="H19" i="1"/>
  <c r="H18" i="1"/>
  <c r="H17" i="1"/>
  <c r="H16" i="1"/>
  <c r="H15" i="1"/>
  <c r="H25" i="1" l="1"/>
</calcChain>
</file>

<file path=xl/sharedStrings.xml><?xml version="1.0" encoding="utf-8"?>
<sst xmlns="http://schemas.openxmlformats.org/spreadsheetml/2006/main" count="32" uniqueCount="31">
  <si>
    <t>ParticipantID</t>
  </si>
  <si>
    <t>Bins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</si>
  <si>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</si>
  <si>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</si>
  <si>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</si>
  <si>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</si>
  <si>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</si>
  <si>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</si>
  <si>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</si>
  <si>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</si>
  <si>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</si>
  <si>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0.9-1.0</t>
  </si>
  <si>
    <t>Expected (Human)</t>
  </si>
  <si>
    <t>Observed (Model)</t>
  </si>
  <si>
    <t>(O-E)^2/E</t>
  </si>
  <si>
    <t>Chi-squared</t>
  </si>
  <si>
    <t>Example: Risky button: a reward of 32 with 10% chance and a reward of 0 with 90% chance; Safe button: a reward of 3 with 100% chance</t>
  </si>
  <si>
    <t>Suppose we play a game, where each game is played for 100 rounds.</t>
  </si>
  <si>
    <t>In each game, a person decides between a risky button (with High and Low probabilistic rewards) and a Safe button (with medium rewards) in each round</t>
  </si>
  <si>
    <t>Information</t>
  </si>
  <si>
    <t>SSE</t>
  </si>
  <si>
    <t>AIC</t>
  </si>
  <si>
    <t>(assuming that my model has 3 free parameters)</t>
  </si>
  <si>
    <t>BIC</t>
  </si>
  <si>
    <t>A smaller AIC, BIC score is desirable</t>
  </si>
  <si>
    <t>Chi-Squared Calculation (comparing distibution of actual and observed data)</t>
  </si>
  <si>
    <t>AIC, BIC Value (Comparing individual actual and observed proportions)</t>
  </si>
  <si>
    <t>ProportionORiskyChoicesAcrossAll100Rounds_Actual</t>
  </si>
  <si>
    <t>ProportionORiskyChoicesAcross100Rounds_PredictedFromModel</t>
  </si>
  <si>
    <t>The ProportionORiskyChoicesAcrossAll100Rounds column show what out of 100 rounds, how many times a participant chose the risky button. This proportion is generated both from actual and model (predicted) data. A value of 0.38 means, that out of 100 rounds, the participant clicked the risky button 38 times in the game.</t>
  </si>
  <si>
    <t>A smaller Chi-squared is desirable as it shows the actual and predicted distributions to be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</si>
</sst>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v>Model Predicted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AICBICChiSquared!$E$15:$E$24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0.9-1.0</c:v>
                </c:pt>
              </c:strCache>
            </c:strRef>
          </c:cat>
          <c:val>
            <c:numRef>
              <c:f>AICBICChiSquared!$G$15:$G$24</c:f>
              <c:numCache>
                <c:formatCode>General</c:formatCode>
                <c:ptCount val="10"/>
                <c:pt idx="0">
                  <c:v>1</c:v>
                </c:pt>
                <c:pt idx="1">
                  <c:v>11</c:v>
                </c:pt>
                <c:pt idx="2">
                  <c:v>17</c:v>
                </c:pt>
                <c:pt idx="3">
                  <c:v>21</c:v>
                </c:pt>
                <c:pt idx="4">
                  <c:v>26</c:v>
                </c:pt>
                <c:pt idx="5">
                  <c:v>17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0"/>
          <c:order val="0"/>
          <c:tx>
            <c:v>Actual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AICBICChiSquared!$E$15:$E$24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0.9-1.0</c:v>
                </c:pt>
              </c:strCache>
            </c:strRef>
          </c:cat>
          <c:val>
            <c:numRef>
              <c:f>AICBICChiSquared!$F$15:$F$24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16</c:v>
                </c:pt>
                <c:pt idx="3">
                  <c:v>30</c:v>
                </c:pt>
                <c:pt idx="4">
                  <c:v>29</c:v>
                </c:pt>
                <c:pt idx="5">
                  <c:v>12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435856"/>
        <c:axId val="370753544"/>
      </c:barChart>
      <c:catAx>
        <c:axId val="23643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Proportion Of Risky Choice Bins</a:t>
                </a:r>
              </a:p>
            </c:rich>
          </c:tx>
          <c:layout>
            <c:manualLayout>
              <c:xMode val="edge"/>
              <c:yMode val="edge"/>
              <c:x val="0.38668593272657842"/>
              <c:y val="0.9149877285443661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0753544"/>
        <c:crosses val="autoZero"/>
        <c:auto val="1"/>
        <c:lblAlgn val="ctr"/>
        <c:lblOffset val="100"/>
        <c:noMultiLvlLbl val="0"/>
      </c:catAx>
      <c:valAx>
        <c:axId val="370753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6435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5</xdr:row>
      <xdr:rowOff>133350</xdr:rowOff>
    </xdr:from>
    <xdr:to>
      <xdr:col>18</xdr:col>
      <xdr:colOff>542926</xdr:colOff>
      <xdr:row>26</xdr:row>
      <xdr:rowOff>47626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J30" sqref="J30"/>
    </sheetView>
  </sheetViews>
  <sheetFormatPr defaultRowHeight="15" x14ac:dyDescent="0.25"/>
  <cols>
    <col min="6" max="6" width="13.140625" customWidth="1"/>
  </cols>
  <sheetData>
    <row r="1" spans="1:8" x14ac:dyDescent="0.25">
      <c r="A1" s="1" t="s">
        <v>0</v>
      </c>
      <c r="B1" s="1" t="s">
        <v>27</v>
      </c>
      <c r="C1" s="1" t="s">
        <v>28</v>
      </c>
      <c r="F1" s="1" t="s">
        <v>19</v>
      </c>
      <c r="G1" s="2" t="s">
        <v>17</v>
      </c>
    </row>
    <row r="2" spans="1:8" x14ac:dyDescent="0.25">
      <c r="A2">
        <v>1</v>
      </c>
      <c r="B2">
        <v>0.38</v>
      </c>
      <c r="C2">
        <v>0.37</v>
      </c>
      <c r="D2" t="s">
        <v>26</v>
      </c>
      <c r="G2" s="3" t="s">
        <v>18</v>
      </c>
    </row>
    <row r="3" spans="1:8" x14ac:dyDescent="0.25">
      <c r="A3">
        <v>2</v>
      </c>
      <c r="B3">
        <v>0.41</v>
      </c>
      <c r="C3">
        <v>0.43</v>
      </c>
      <c r="D3" s="1" t="s">
        <v>20</v>
      </c>
      <c r="E3">
        <f>SUMPRODUCT((B2:B101-C2:C101)^2)/100</f>
        <v>5.3779999999999991E-3</v>
      </c>
      <c r="F3" t="s">
        <v>22</v>
      </c>
      <c r="G3" s="3" t="s">
        <v>16</v>
      </c>
    </row>
    <row r="4" spans="1:8" x14ac:dyDescent="0.25">
      <c r="A4">
        <v>3</v>
      </c>
      <c r="B4">
        <v>0.27</v>
      </c>
      <c r="C4">
        <v>0.27</v>
      </c>
      <c r="D4" s="1" t="s">
        <v>21</v>
      </c>
      <c r="E4">
        <f>100*LN(E3/100)+3*2</f>
        <v>-977.06089071235567</v>
      </c>
      <c r="F4" t="s">
        <v>22</v>
      </c>
      <c r="G4" s="3" t="s">
        <v>29</v>
      </c>
    </row>
    <row r="5" spans="1:8" x14ac:dyDescent="0.25">
      <c r="A5">
        <v>4</v>
      </c>
      <c r="B5">
        <v>0.47</v>
      </c>
      <c r="C5">
        <v>0.47</v>
      </c>
      <c r="D5" s="1" t="s">
        <v>23</v>
      </c>
      <c r="E5">
        <f>0.5*(100*LN(E3/100)+3*2*LN(100))</f>
        <v>-477.71493479821356</v>
      </c>
    </row>
    <row r="6" spans="1:8" x14ac:dyDescent="0.25">
      <c r="A6">
        <v>5</v>
      </c>
      <c r="B6">
        <v>0.32</v>
      </c>
      <c r="C6">
        <v>0.2</v>
      </c>
      <c r="D6" s="1" t="s">
        <v>24</v>
      </c>
    </row>
    <row r="7" spans="1:8" x14ac:dyDescent="0.25">
      <c r="A7">
        <v>6</v>
      </c>
      <c r="B7">
        <v>0.64</v>
      </c>
      <c r="C7">
        <v>0.63</v>
      </c>
    </row>
    <row r="8" spans="1:8" x14ac:dyDescent="0.25">
      <c r="A8">
        <v>7</v>
      </c>
      <c r="B8">
        <v>0.31</v>
      </c>
      <c r="C8">
        <v>0.3</v>
      </c>
    </row>
    <row r="9" spans="1:8" x14ac:dyDescent="0.25">
      <c r="A9">
        <v>8</v>
      </c>
      <c r="B9">
        <v>0.68</v>
      </c>
      <c r="C9">
        <v>0.55000000000000004</v>
      </c>
    </row>
    <row r="10" spans="1:8" x14ac:dyDescent="0.25">
      <c r="A10">
        <v>9</v>
      </c>
      <c r="B10">
        <v>0.61</v>
      </c>
      <c r="C10">
        <v>0.6</v>
      </c>
    </row>
    <row r="11" spans="1:8" x14ac:dyDescent="0.25">
      <c r="A11">
        <v>10</v>
      </c>
      <c r="B11">
        <v>0.23</v>
      </c>
      <c r="C11">
        <v>0.18</v>
      </c>
    </row>
    <row r="12" spans="1:8" x14ac:dyDescent="0.25">
      <c r="A12">
        <v>11</v>
      </c>
      <c r="B12">
        <v>0.14000000000000001</v>
      </c>
      <c r="C12">
        <v>0.05</v>
      </c>
    </row>
    <row r="13" spans="1:8" x14ac:dyDescent="0.25">
      <c r="A13">
        <v>12</v>
      </c>
      <c r="B13">
        <v>0.26</v>
      </c>
      <c r="C13">
        <v>0.2</v>
      </c>
      <c r="D13" s="1" t="s">
        <v>25</v>
      </c>
    </row>
    <row r="14" spans="1:8" x14ac:dyDescent="0.25">
      <c r="A14">
        <v>13</v>
      </c>
      <c r="B14">
        <v>0.46</v>
      </c>
      <c r="C14">
        <v>0.15</v>
      </c>
      <c r="E14" s="1" t="s">
        <v>1</v>
      </c>
      <c r="F14" s="1" t="s">
        <v>12</v>
      </c>
      <c r="G14" s="1" t="s">
        <v>13</v>
      </c>
      <c r="H14" s="1" t="s">
        <v>14</v>
      </c>
    </row>
    <row r="15" spans="1:8" x14ac:dyDescent="0.25">
      <c r="A15">
        <v>14</v>
      </c>
      <c r="B15">
        <v>0.34</v>
      </c>
      <c r="C15">
        <v>0.35</v>
      </c>
      <c r="E15" t="s">
        <v>2</v>
      </c>
      <c r="F15">
        <v>1</v>
      </c>
      <c r="G15">
        <v>1</v>
      </c>
      <c r="H15">
        <f>(G15-F15)^2/F15</f>
        <v>0</v>
      </c>
    </row>
    <row r="16" spans="1:8" x14ac:dyDescent="0.25">
      <c r="A16">
        <v>15</v>
      </c>
      <c r="B16">
        <v>0.69</v>
      </c>
      <c r="C16">
        <v>0.62</v>
      </c>
      <c r="E16" t="s">
        <v>3</v>
      </c>
      <c r="F16">
        <v>5</v>
      </c>
      <c r="G16">
        <v>11</v>
      </c>
      <c r="H16">
        <f t="shared" ref="H16:H24" si="0">(G16-F16)^2/F16</f>
        <v>7.2</v>
      </c>
    </row>
    <row r="17" spans="1:8" x14ac:dyDescent="0.25">
      <c r="A17">
        <v>16</v>
      </c>
      <c r="B17">
        <v>0.44</v>
      </c>
      <c r="C17">
        <v>0.43</v>
      </c>
      <c r="E17" t="s">
        <v>4</v>
      </c>
      <c r="F17">
        <v>16</v>
      </c>
      <c r="G17">
        <v>17</v>
      </c>
      <c r="H17">
        <f t="shared" si="0"/>
        <v>6.25E-2</v>
      </c>
    </row>
    <row r="18" spans="1:8" x14ac:dyDescent="0.25">
      <c r="A18">
        <v>17</v>
      </c>
      <c r="B18">
        <v>0.23</v>
      </c>
      <c r="C18">
        <v>0.19</v>
      </c>
      <c r="E18" t="s">
        <v>5</v>
      </c>
      <c r="F18">
        <v>30</v>
      </c>
      <c r="G18">
        <v>21</v>
      </c>
      <c r="H18">
        <f t="shared" si="0"/>
        <v>2.7</v>
      </c>
    </row>
    <row r="19" spans="1:8" x14ac:dyDescent="0.25">
      <c r="A19">
        <v>18</v>
      </c>
      <c r="B19">
        <v>0.24</v>
      </c>
      <c r="C19">
        <v>0.28999999999999998</v>
      </c>
      <c r="E19" t="s">
        <v>6</v>
      </c>
      <c r="F19">
        <v>29</v>
      </c>
      <c r="G19">
        <v>26</v>
      </c>
      <c r="H19">
        <f t="shared" si="0"/>
        <v>0.31034482758620691</v>
      </c>
    </row>
    <row r="20" spans="1:8" x14ac:dyDescent="0.25">
      <c r="A20">
        <v>19</v>
      </c>
      <c r="B20">
        <v>0.47</v>
      </c>
      <c r="C20">
        <v>0.6</v>
      </c>
      <c r="E20" t="s">
        <v>7</v>
      </c>
      <c r="F20">
        <v>12</v>
      </c>
      <c r="G20">
        <v>17</v>
      </c>
      <c r="H20">
        <f t="shared" si="0"/>
        <v>2.0833333333333335</v>
      </c>
    </row>
    <row r="21" spans="1:8" x14ac:dyDescent="0.25">
      <c r="A21">
        <v>20</v>
      </c>
      <c r="B21">
        <v>0.5</v>
      </c>
      <c r="C21">
        <v>0.6</v>
      </c>
      <c r="E21" t="s">
        <v>8</v>
      </c>
      <c r="F21">
        <v>7</v>
      </c>
      <c r="G21">
        <v>7</v>
      </c>
      <c r="H21">
        <f t="shared" si="0"/>
        <v>0</v>
      </c>
    </row>
    <row r="22" spans="1:8" x14ac:dyDescent="0.25">
      <c r="A22">
        <v>21</v>
      </c>
      <c r="B22">
        <v>0.56000000000000005</v>
      </c>
      <c r="C22">
        <v>0.56999999999999995</v>
      </c>
      <c r="E22" t="s">
        <v>9</v>
      </c>
      <c r="F22">
        <v>0</v>
      </c>
      <c r="G22">
        <v>0</v>
      </c>
      <c r="H22" t="e">
        <f t="shared" si="0"/>
        <v>#DIV/0!</v>
      </c>
    </row>
    <row r="23" spans="1:8" x14ac:dyDescent="0.25">
      <c r="A23">
        <v>22</v>
      </c>
      <c r="B23">
        <v>0.28000000000000003</v>
      </c>
      <c r="C23">
        <v>0.3</v>
      </c>
      <c r="E23" t="s">
        <v>10</v>
      </c>
      <c r="F23">
        <v>0</v>
      </c>
      <c r="G23">
        <v>0</v>
      </c>
      <c r="H23" t="e">
        <f t="shared" si="0"/>
        <v>#DIV/0!</v>
      </c>
    </row>
    <row r="24" spans="1:8" x14ac:dyDescent="0.25">
      <c r="A24">
        <v>23</v>
      </c>
      <c r="B24">
        <v>0.45</v>
      </c>
      <c r="C24">
        <v>0.62</v>
      </c>
      <c r="E24" t="s">
        <v>11</v>
      </c>
      <c r="F24">
        <v>0</v>
      </c>
      <c r="G24">
        <v>0</v>
      </c>
      <c r="H24" t="e">
        <f t="shared" si="0"/>
        <v>#DIV/0!</v>
      </c>
    </row>
    <row r="25" spans="1:8" x14ac:dyDescent="0.25">
      <c r="A25">
        <v>24</v>
      </c>
      <c r="B25">
        <v>0.53</v>
      </c>
      <c r="C25">
        <v>0.52</v>
      </c>
      <c r="G25" s="1" t="s">
        <v>15</v>
      </c>
      <c r="H25" s="1">
        <f>SUM(H15:H21)</f>
        <v>12.356178160919541</v>
      </c>
    </row>
    <row r="26" spans="1:8" x14ac:dyDescent="0.25">
      <c r="A26">
        <v>25</v>
      </c>
      <c r="B26">
        <v>0.31</v>
      </c>
      <c r="C26">
        <v>0.28000000000000003</v>
      </c>
      <c r="E26" s="1" t="s">
        <v>30</v>
      </c>
    </row>
    <row r="27" spans="1:8" x14ac:dyDescent="0.25">
      <c r="A27">
        <v>26</v>
      </c>
      <c r="B27">
        <v>0.47</v>
      </c>
      <c r="C27">
        <v>0.46</v>
      </c>
    </row>
    <row r="28" spans="1:8" x14ac:dyDescent="0.25">
      <c r="A28">
        <v>27</v>
      </c>
      <c r="B28">
        <v>0.26</v>
      </c>
      <c r="C28">
        <v>0.13</v>
      </c>
    </row>
    <row r="29" spans="1:8" x14ac:dyDescent="0.25">
      <c r="A29">
        <v>28</v>
      </c>
      <c r="B29">
        <v>0.36</v>
      </c>
      <c r="C29">
        <v>0.36</v>
      </c>
    </row>
    <row r="30" spans="1:8" x14ac:dyDescent="0.25">
      <c r="A30">
        <v>29</v>
      </c>
      <c r="B30">
        <v>0.57999999999999996</v>
      </c>
      <c r="C30">
        <v>0.55000000000000004</v>
      </c>
    </row>
    <row r="31" spans="1:8" x14ac:dyDescent="0.25">
      <c r="A31">
        <v>30</v>
      </c>
      <c r="B31">
        <v>0.44</v>
      </c>
      <c r="C31">
        <v>0.37</v>
      </c>
    </row>
    <row r="32" spans="1:8" x14ac:dyDescent="0.25">
      <c r="A32">
        <v>31</v>
      </c>
      <c r="B32">
        <v>0.4</v>
      </c>
      <c r="C32">
        <v>0.51</v>
      </c>
    </row>
    <row r="33" spans="1:3" x14ac:dyDescent="0.25">
      <c r="A33">
        <v>32</v>
      </c>
      <c r="B33">
        <v>0.39</v>
      </c>
      <c r="C33">
        <v>0.37</v>
      </c>
    </row>
    <row r="34" spans="1:3" x14ac:dyDescent="0.25">
      <c r="A34">
        <v>33</v>
      </c>
      <c r="B34">
        <v>0.42</v>
      </c>
      <c r="C34">
        <v>0.46</v>
      </c>
    </row>
    <row r="35" spans="1:3" x14ac:dyDescent="0.25">
      <c r="A35">
        <v>34</v>
      </c>
      <c r="B35">
        <v>0.24</v>
      </c>
      <c r="C35">
        <v>0.25</v>
      </c>
    </row>
    <row r="36" spans="1:3" x14ac:dyDescent="0.25">
      <c r="A36">
        <v>35</v>
      </c>
      <c r="B36">
        <v>0.46</v>
      </c>
      <c r="C36">
        <v>0.5</v>
      </c>
    </row>
    <row r="37" spans="1:3" x14ac:dyDescent="0.25">
      <c r="A37">
        <v>36</v>
      </c>
      <c r="B37">
        <v>0.38</v>
      </c>
      <c r="C37">
        <v>0.38</v>
      </c>
    </row>
    <row r="38" spans="1:3" x14ac:dyDescent="0.25">
      <c r="A38">
        <v>37</v>
      </c>
      <c r="B38">
        <v>0.2</v>
      </c>
      <c r="C38">
        <v>0.18</v>
      </c>
    </row>
    <row r="39" spans="1:3" x14ac:dyDescent="0.25">
      <c r="A39">
        <v>38</v>
      </c>
      <c r="B39">
        <v>0.54</v>
      </c>
      <c r="C39">
        <v>0.54</v>
      </c>
    </row>
    <row r="40" spans="1:3" x14ac:dyDescent="0.25">
      <c r="A40">
        <v>39</v>
      </c>
      <c r="B40">
        <v>0.59</v>
      </c>
      <c r="C40">
        <v>0.42</v>
      </c>
    </row>
    <row r="41" spans="1:3" x14ac:dyDescent="0.25">
      <c r="A41">
        <v>40</v>
      </c>
      <c r="B41">
        <v>0.28000000000000003</v>
      </c>
      <c r="C41">
        <v>0.34</v>
      </c>
    </row>
    <row r="42" spans="1:3" x14ac:dyDescent="0.25">
      <c r="A42">
        <v>41</v>
      </c>
      <c r="B42">
        <v>0.21</v>
      </c>
      <c r="C42">
        <v>0.17</v>
      </c>
    </row>
    <row r="43" spans="1:3" x14ac:dyDescent="0.25">
      <c r="A43">
        <v>42</v>
      </c>
      <c r="B43">
        <v>0.43</v>
      </c>
      <c r="C43">
        <v>0.48</v>
      </c>
    </row>
    <row r="44" spans="1:3" x14ac:dyDescent="0.25">
      <c r="A44">
        <v>43</v>
      </c>
      <c r="B44">
        <v>0.49</v>
      </c>
      <c r="C44">
        <v>0.42</v>
      </c>
    </row>
    <row r="45" spans="1:3" x14ac:dyDescent="0.25">
      <c r="A45">
        <v>44</v>
      </c>
      <c r="B45">
        <v>0.44</v>
      </c>
      <c r="C45">
        <v>0.35</v>
      </c>
    </row>
    <row r="46" spans="1:3" x14ac:dyDescent="0.25">
      <c r="A46">
        <v>45</v>
      </c>
      <c r="B46">
        <v>0.6</v>
      </c>
      <c r="C46">
        <v>0.48</v>
      </c>
    </row>
    <row r="47" spans="1:3" x14ac:dyDescent="0.25">
      <c r="A47">
        <v>46</v>
      </c>
      <c r="B47">
        <v>0.21</v>
      </c>
      <c r="C47">
        <v>0.27</v>
      </c>
    </row>
    <row r="48" spans="1:3" x14ac:dyDescent="0.25">
      <c r="A48">
        <v>47</v>
      </c>
      <c r="B48">
        <v>0.59</v>
      </c>
      <c r="C48">
        <v>0.59</v>
      </c>
    </row>
    <row r="49" spans="1:3" x14ac:dyDescent="0.25">
      <c r="A49">
        <v>48</v>
      </c>
      <c r="B49">
        <v>0.47</v>
      </c>
      <c r="C49">
        <v>0.39</v>
      </c>
    </row>
    <row r="50" spans="1:3" x14ac:dyDescent="0.25">
      <c r="A50">
        <v>49</v>
      </c>
      <c r="B50">
        <v>0.25</v>
      </c>
      <c r="C50">
        <v>0.22</v>
      </c>
    </row>
    <row r="51" spans="1:3" x14ac:dyDescent="0.25">
      <c r="A51">
        <v>50</v>
      </c>
      <c r="B51">
        <v>0.17</v>
      </c>
      <c r="C51">
        <v>0.18</v>
      </c>
    </row>
    <row r="52" spans="1:3" x14ac:dyDescent="0.25">
      <c r="A52">
        <v>51</v>
      </c>
      <c r="B52">
        <v>0.56000000000000005</v>
      </c>
      <c r="C52">
        <v>0.54</v>
      </c>
    </row>
    <row r="53" spans="1:3" x14ac:dyDescent="0.25">
      <c r="A53">
        <v>52</v>
      </c>
      <c r="B53">
        <v>0.59</v>
      </c>
      <c r="C53">
        <v>0.59</v>
      </c>
    </row>
    <row r="54" spans="1:3" x14ac:dyDescent="0.25">
      <c r="A54">
        <v>53</v>
      </c>
      <c r="B54">
        <v>0.4</v>
      </c>
      <c r="C54">
        <v>0.47</v>
      </c>
    </row>
    <row r="55" spans="1:3" x14ac:dyDescent="0.25">
      <c r="A55">
        <v>54</v>
      </c>
      <c r="B55">
        <v>0.35</v>
      </c>
      <c r="C55">
        <v>0.49</v>
      </c>
    </row>
    <row r="56" spans="1:3" x14ac:dyDescent="0.25">
      <c r="A56">
        <v>55</v>
      </c>
      <c r="B56">
        <v>0.41</v>
      </c>
      <c r="C56">
        <v>0.37</v>
      </c>
    </row>
    <row r="57" spans="1:3" x14ac:dyDescent="0.25">
      <c r="A57">
        <v>56</v>
      </c>
      <c r="B57">
        <v>0.48</v>
      </c>
      <c r="C57">
        <v>0.49</v>
      </c>
    </row>
    <row r="58" spans="1:3" x14ac:dyDescent="0.25">
      <c r="A58">
        <v>57</v>
      </c>
      <c r="B58">
        <v>0.43</v>
      </c>
      <c r="C58">
        <v>0.49</v>
      </c>
    </row>
    <row r="59" spans="1:3" x14ac:dyDescent="0.25">
      <c r="A59">
        <v>58</v>
      </c>
      <c r="B59">
        <v>0.31</v>
      </c>
      <c r="C59">
        <v>0.25</v>
      </c>
    </row>
    <row r="60" spans="1:3" x14ac:dyDescent="0.25">
      <c r="A60">
        <v>59</v>
      </c>
      <c r="B60">
        <v>0.46</v>
      </c>
      <c r="C60">
        <v>0.4</v>
      </c>
    </row>
    <row r="61" spans="1:3" x14ac:dyDescent="0.25">
      <c r="A61">
        <v>60</v>
      </c>
      <c r="B61">
        <v>0.31</v>
      </c>
      <c r="C61">
        <v>0.3</v>
      </c>
    </row>
    <row r="62" spans="1:3" x14ac:dyDescent="0.25">
      <c r="A62">
        <v>61</v>
      </c>
      <c r="B62">
        <v>0.37</v>
      </c>
      <c r="C62">
        <v>0.32</v>
      </c>
    </row>
    <row r="63" spans="1:3" x14ac:dyDescent="0.25">
      <c r="A63">
        <v>62</v>
      </c>
      <c r="B63">
        <v>0.31</v>
      </c>
      <c r="C63">
        <v>0.28000000000000003</v>
      </c>
    </row>
    <row r="64" spans="1:3" x14ac:dyDescent="0.25">
      <c r="A64">
        <v>63</v>
      </c>
      <c r="B64">
        <v>0.42</v>
      </c>
      <c r="C64">
        <v>0.43</v>
      </c>
    </row>
    <row r="65" spans="1:3" x14ac:dyDescent="0.25">
      <c r="A65">
        <v>64</v>
      </c>
      <c r="B65">
        <v>0.38</v>
      </c>
      <c r="C65">
        <v>0.45</v>
      </c>
    </row>
    <row r="66" spans="1:3" x14ac:dyDescent="0.25">
      <c r="A66">
        <v>65</v>
      </c>
      <c r="B66">
        <v>0.54</v>
      </c>
      <c r="C66">
        <v>0.49</v>
      </c>
    </row>
    <row r="67" spans="1:3" x14ac:dyDescent="0.25">
      <c r="A67">
        <v>66</v>
      </c>
      <c r="B67">
        <v>0.28000000000000003</v>
      </c>
      <c r="C67">
        <v>0.25</v>
      </c>
    </row>
    <row r="68" spans="1:3" x14ac:dyDescent="0.25">
      <c r="A68">
        <v>67</v>
      </c>
      <c r="B68">
        <v>0.28999999999999998</v>
      </c>
      <c r="C68">
        <v>0.25</v>
      </c>
    </row>
    <row r="69" spans="1:3" x14ac:dyDescent="0.25">
      <c r="A69">
        <v>68</v>
      </c>
      <c r="B69">
        <v>0.19</v>
      </c>
      <c r="C69">
        <v>0.37</v>
      </c>
    </row>
    <row r="70" spans="1:3" x14ac:dyDescent="0.25">
      <c r="A70">
        <v>69</v>
      </c>
      <c r="B70">
        <v>0.33</v>
      </c>
      <c r="C70">
        <v>0.37</v>
      </c>
    </row>
    <row r="71" spans="1:3" x14ac:dyDescent="0.25">
      <c r="A71">
        <v>70</v>
      </c>
      <c r="B71">
        <v>0.3</v>
      </c>
      <c r="C71">
        <v>0.32</v>
      </c>
    </row>
    <row r="72" spans="1:3" x14ac:dyDescent="0.25">
      <c r="A72">
        <v>71</v>
      </c>
      <c r="B72">
        <v>0.44</v>
      </c>
      <c r="C72">
        <v>0.41</v>
      </c>
    </row>
    <row r="73" spans="1:3" x14ac:dyDescent="0.25">
      <c r="A73">
        <v>72</v>
      </c>
      <c r="B73">
        <v>0.37</v>
      </c>
      <c r="C73">
        <v>0.41</v>
      </c>
    </row>
    <row r="74" spans="1:3" x14ac:dyDescent="0.25">
      <c r="A74">
        <v>73</v>
      </c>
      <c r="B74">
        <v>0.39</v>
      </c>
      <c r="C74">
        <v>0.42</v>
      </c>
    </row>
    <row r="75" spans="1:3" x14ac:dyDescent="0.25">
      <c r="A75">
        <v>74</v>
      </c>
      <c r="B75">
        <v>0.35</v>
      </c>
      <c r="C75">
        <v>0.43</v>
      </c>
    </row>
    <row r="76" spans="1:3" x14ac:dyDescent="0.25">
      <c r="A76">
        <v>75</v>
      </c>
      <c r="B76">
        <v>0.1</v>
      </c>
      <c r="C76">
        <v>0.13</v>
      </c>
    </row>
    <row r="77" spans="1:3" x14ac:dyDescent="0.25">
      <c r="A77">
        <v>76</v>
      </c>
      <c r="B77">
        <v>0.24</v>
      </c>
      <c r="C77">
        <v>0.23</v>
      </c>
    </row>
    <row r="78" spans="1:3" x14ac:dyDescent="0.25">
      <c r="A78">
        <v>77</v>
      </c>
      <c r="B78">
        <v>0.24</v>
      </c>
      <c r="C78">
        <v>0.28000000000000003</v>
      </c>
    </row>
    <row r="79" spans="1:3" x14ac:dyDescent="0.25">
      <c r="A79">
        <v>78</v>
      </c>
      <c r="B79">
        <v>0.5</v>
      </c>
      <c r="C79">
        <v>0.6</v>
      </c>
    </row>
    <row r="80" spans="1:3" x14ac:dyDescent="0.25">
      <c r="A80">
        <v>79</v>
      </c>
      <c r="B80">
        <v>0.49</v>
      </c>
      <c r="C80">
        <v>0.39</v>
      </c>
    </row>
    <row r="81" spans="1:3" x14ac:dyDescent="0.25">
      <c r="A81">
        <v>80</v>
      </c>
      <c r="B81">
        <v>0.56000000000000005</v>
      </c>
      <c r="C81">
        <v>0.6</v>
      </c>
    </row>
    <row r="82" spans="1:3" x14ac:dyDescent="0.25">
      <c r="A82">
        <v>81</v>
      </c>
      <c r="B82">
        <v>0.47</v>
      </c>
      <c r="C82">
        <v>0.43</v>
      </c>
    </row>
    <row r="83" spans="1:3" x14ac:dyDescent="0.25">
      <c r="A83">
        <v>82</v>
      </c>
      <c r="B83">
        <v>0.34</v>
      </c>
      <c r="C83">
        <v>0.28999999999999998</v>
      </c>
    </row>
    <row r="84" spans="1:3" x14ac:dyDescent="0.25">
      <c r="A84">
        <v>83</v>
      </c>
      <c r="B84">
        <v>0.63</v>
      </c>
      <c r="C84">
        <v>0.6</v>
      </c>
    </row>
    <row r="85" spans="1:3" x14ac:dyDescent="0.25">
      <c r="A85">
        <v>84</v>
      </c>
      <c r="B85">
        <v>0.31</v>
      </c>
      <c r="C85">
        <v>0.37</v>
      </c>
    </row>
    <row r="86" spans="1:3" x14ac:dyDescent="0.25">
      <c r="A86">
        <v>85</v>
      </c>
      <c r="B86">
        <v>0.51</v>
      </c>
      <c r="C86">
        <v>0.49</v>
      </c>
    </row>
    <row r="87" spans="1:3" x14ac:dyDescent="0.25">
      <c r="A87">
        <v>86</v>
      </c>
      <c r="B87">
        <v>0.38</v>
      </c>
      <c r="C87">
        <v>0.23</v>
      </c>
    </row>
    <row r="88" spans="1:3" x14ac:dyDescent="0.25">
      <c r="A88">
        <v>87</v>
      </c>
      <c r="B88">
        <v>0.36</v>
      </c>
      <c r="C88">
        <v>0.41</v>
      </c>
    </row>
    <row r="89" spans="1:3" x14ac:dyDescent="0.25">
      <c r="A89">
        <v>88</v>
      </c>
      <c r="B89">
        <v>0.44</v>
      </c>
      <c r="C89">
        <v>0.41</v>
      </c>
    </row>
    <row r="90" spans="1:3" x14ac:dyDescent="0.25">
      <c r="A90">
        <v>89</v>
      </c>
      <c r="B90">
        <v>0.32</v>
      </c>
      <c r="C90">
        <v>0.23</v>
      </c>
    </row>
    <row r="91" spans="1:3" x14ac:dyDescent="0.25">
      <c r="A91">
        <v>90</v>
      </c>
      <c r="B91">
        <v>0.47</v>
      </c>
      <c r="C91">
        <v>0.55000000000000004</v>
      </c>
    </row>
    <row r="92" spans="1:3" x14ac:dyDescent="0.25">
      <c r="A92">
        <v>91</v>
      </c>
      <c r="B92">
        <v>0.39</v>
      </c>
      <c r="C92">
        <v>0.54</v>
      </c>
    </row>
    <row r="93" spans="1:3" x14ac:dyDescent="0.25">
      <c r="A93">
        <v>92</v>
      </c>
      <c r="B93">
        <v>0.34</v>
      </c>
      <c r="C93">
        <v>0.41</v>
      </c>
    </row>
    <row r="94" spans="1:3" x14ac:dyDescent="0.25">
      <c r="A94">
        <v>93</v>
      </c>
      <c r="B94">
        <v>0.34</v>
      </c>
      <c r="C94">
        <v>0.33</v>
      </c>
    </row>
    <row r="95" spans="1:3" x14ac:dyDescent="0.25">
      <c r="A95">
        <v>94</v>
      </c>
      <c r="B95">
        <v>0.51</v>
      </c>
      <c r="C95">
        <v>0.53</v>
      </c>
    </row>
    <row r="96" spans="1:3" x14ac:dyDescent="0.25">
      <c r="A96">
        <v>95</v>
      </c>
      <c r="B96">
        <v>0.43</v>
      </c>
      <c r="C96">
        <v>0.36</v>
      </c>
    </row>
    <row r="97" spans="1:3" x14ac:dyDescent="0.25">
      <c r="A97">
        <v>96</v>
      </c>
      <c r="B97">
        <v>0.42</v>
      </c>
      <c r="C97">
        <v>0.5</v>
      </c>
    </row>
    <row r="98" spans="1:3" x14ac:dyDescent="0.25">
      <c r="A98">
        <v>97</v>
      </c>
      <c r="B98">
        <v>0.15</v>
      </c>
      <c r="C98">
        <v>0.11</v>
      </c>
    </row>
    <row r="99" spans="1:3" x14ac:dyDescent="0.25">
      <c r="A99">
        <v>98</v>
      </c>
      <c r="B99">
        <v>0.32</v>
      </c>
      <c r="C99">
        <v>0.33</v>
      </c>
    </row>
    <row r="100" spans="1:3" x14ac:dyDescent="0.25">
      <c r="A100">
        <v>99</v>
      </c>
      <c r="B100">
        <v>0.42</v>
      </c>
      <c r="C100">
        <v>0.4</v>
      </c>
    </row>
    <row r="101" spans="1:3" x14ac:dyDescent="0.25">
      <c r="A101">
        <v>100</v>
      </c>
      <c r="B101">
        <v>0.61</v>
      </c>
      <c r="C101">
        <v>0.68</v>
      </c>
    </row>
  </sheetData>
  <pageMargins left="0.7" right="0.7" top="0.75" bottom="0.75" header="0.3" footer="0.3"/>
  <pageSetup paperSize="9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AICBICChiSquared</vt:lpstr>
    </vt:vector>
  </TitlesOfParts>
  <Company>Exported Data, created by SPSS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Varun</cp:lastModifiedBy>
  <dcterms:created xsi:type="dcterms:W3CDTF">2007-02-23T14:58:14Z</dcterms:created>
  <dcterms:modified xsi:type="dcterms:W3CDTF">2015-10-29T07:20:44Z</dcterms:modified>
</cp:coreProperties>
</file>