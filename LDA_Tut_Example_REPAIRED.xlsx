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quarebracket/Dropbox/Downloads/"/>
    </mc:Choice>
  </mc:AlternateContent>
  <xr:revisionPtr revIDLastSave="0" documentId="13_ncr:1_{D0909EF4-4AF2-1549-828E-9D75864DDB30}" xr6:coauthVersionLast="47" xr6:coauthVersionMax="47" xr10:uidLastSave="{00000000-0000-0000-0000-000000000000}"/>
  <bookViews>
    <workbookView xWindow="0" yWindow="660" windowWidth="30240" windowHeight="17500" activeTab="1" xr2:uid="{00000000-000D-0000-FFFF-FFFF00000000}"/>
  </bookViews>
  <sheets>
    <sheet name="LDA Corrected" sheetId="1" r:id="rId1"/>
    <sheet name="Calculations" sheetId="2" r:id="rId2"/>
    <sheet name="Repair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C24" i="2"/>
  <c r="B24" i="2"/>
  <c r="K4" i="2"/>
  <c r="H19" i="2"/>
  <c r="G19" i="2"/>
  <c r="F19" i="2"/>
  <c r="E19" i="2"/>
  <c r="B19" i="2"/>
  <c r="B9" i="2"/>
  <c r="C28" i="2"/>
  <c r="A20" i="2"/>
  <c r="A19" i="2"/>
  <c r="D5" i="2"/>
  <c r="D20" i="2" s="1"/>
  <c r="C5" i="2"/>
  <c r="B5" i="2"/>
  <c r="H4" i="2"/>
  <c r="G4" i="2"/>
  <c r="D4" i="2"/>
  <c r="D19" i="2" s="1"/>
  <c r="C4" i="2"/>
  <c r="B4" i="2"/>
  <c r="C20" i="2" l="1"/>
  <c r="E11" i="1"/>
  <c r="G11" i="1" s="1"/>
  <c r="J11" i="1" s="1"/>
  <c r="E10" i="1"/>
  <c r="G10" i="1" s="1"/>
  <c r="J10" i="1" s="1"/>
  <c r="H10" i="2" s="1"/>
  <c r="E12" i="1"/>
  <c r="G12" i="1" s="1"/>
  <c r="J12" i="1" s="1"/>
  <c r="B20" i="2"/>
  <c r="D11" i="1"/>
  <c r="F11" i="1" s="1"/>
  <c r="D12" i="1"/>
  <c r="F12" i="1" s="1"/>
  <c r="D10" i="1"/>
  <c r="F10" i="1" s="1"/>
  <c r="C19" i="2"/>
  <c r="E9" i="1"/>
  <c r="G9" i="1" s="1"/>
  <c r="J9" i="1" s="1"/>
  <c r="E8" i="1"/>
  <c r="G8" i="1" s="1"/>
  <c r="J8" i="1" s="1"/>
  <c r="E7" i="1"/>
  <c r="G7" i="1" s="1"/>
  <c r="J7" i="1" s="1"/>
  <c r="E6" i="1"/>
  <c r="G6" i="1" s="1"/>
  <c r="J6" i="1" s="1"/>
  <c r="C10" i="2" s="1"/>
  <c r="D9" i="1"/>
  <c r="F9" i="1" s="1"/>
  <c r="D8" i="1"/>
  <c r="F8" i="1" s="1"/>
  <c r="D7" i="1"/>
  <c r="F7" i="1" s="1"/>
  <c r="D6" i="1"/>
  <c r="F6" i="1" s="1"/>
  <c r="H11" i="1" l="1"/>
  <c r="I11" i="1"/>
  <c r="I12" i="1"/>
  <c r="H12" i="1"/>
  <c r="H10" i="1"/>
  <c r="I10" i="1"/>
  <c r="H9" i="1"/>
  <c r="I9" i="1"/>
  <c r="H8" i="1"/>
  <c r="I8" i="1"/>
  <c r="I7" i="1"/>
  <c r="H7" i="1"/>
  <c r="H6" i="1"/>
  <c r="I6" i="1"/>
  <c r="C9" i="2" s="1"/>
  <c r="C15" i="2"/>
  <c r="B10" i="2" l="1"/>
  <c r="H9" i="2"/>
  <c r="G9" i="2"/>
  <c r="B14" i="2" s="1"/>
  <c r="G10" i="2" l="1"/>
  <c r="C14" i="2"/>
  <c r="B15" i="2" l="1"/>
  <c r="J14" i="2" l="1"/>
  <c r="G15" i="2" s="1"/>
  <c r="H14" i="2" l="1"/>
  <c r="G14" i="2"/>
  <c r="H15" i="2"/>
  <c r="F20" i="2" l="1"/>
  <c r="L5" i="2" s="1"/>
  <c r="L4" i="2"/>
  <c r="E20" i="2"/>
  <c r="G20" i="2" l="1"/>
  <c r="H20" i="2" s="1"/>
  <c r="M5" i="2" s="1"/>
  <c r="K5" i="2"/>
  <c r="M4" i="2"/>
  <c r="L6" i="1" l="1"/>
  <c r="L7" i="1"/>
  <c r="L8" i="1"/>
  <c r="L9" i="1"/>
  <c r="L10" i="1"/>
  <c r="L11" i="1"/>
  <c r="L12" i="1"/>
  <c r="L15" i="1"/>
  <c r="K9" i="1"/>
  <c r="K7" i="1"/>
  <c r="K10" i="1"/>
  <c r="K11" i="1"/>
  <c r="K12" i="1"/>
  <c r="K15" i="1"/>
  <c r="K6" i="1"/>
  <c r="K8" i="1"/>
  <c r="M9" i="1" l="1"/>
  <c r="N9" i="1" s="1"/>
  <c r="M11" i="1"/>
  <c r="N11" i="1" s="1"/>
  <c r="M10" i="1"/>
  <c r="N10" i="1" s="1"/>
  <c r="M12" i="1"/>
  <c r="N12" i="1" s="1"/>
  <c r="M8" i="1"/>
  <c r="N8" i="1" s="1"/>
  <c r="M7" i="1"/>
  <c r="N7" i="1" s="1"/>
  <c r="M15" i="1"/>
  <c r="N15" i="1" s="1"/>
  <c r="M6" i="1"/>
  <c r="N6" i="1" s="1"/>
  <c r="B28" i="2" s="1"/>
  <c r="D28" i="2" s="1"/>
</calcChain>
</file>

<file path=xl/sharedStrings.xml><?xml version="1.0" encoding="utf-8"?>
<sst xmlns="http://schemas.openxmlformats.org/spreadsheetml/2006/main" count="93" uniqueCount="71">
  <si>
    <t>Linear Discriminant Analysis (LDA) – Corrected Classroom Spreadsheet</t>
  </si>
  <si>
    <t>Correction: within-class covariance is computed after centering each group on its own class mean. The global mean is shown for reference only and is not used in S_W.</t>
  </si>
  <si>
    <t>Class</t>
  </si>
  <si>
    <t>Curvature (X1)</t>
  </si>
  <si>
    <t>Diameter (X2)</t>
  </si>
  <si>
    <t>Class Mean X1</t>
  </si>
  <si>
    <t>Class Mean X2</t>
  </si>
  <si>
    <t>Centered X1</t>
  </si>
  <si>
    <t>Centered X2</t>
  </si>
  <si>
    <t>(Centered X1)^2</t>
  </si>
  <si>
    <t>Centered X1×X2</t>
  </si>
  <si>
    <t>(Centered X2)^2</t>
  </si>
  <si>
    <t>Score: Class 1</t>
  </si>
  <si>
    <t>Score: Class 2</t>
  </si>
  <si>
    <t>Prediction</t>
  </si>
  <si>
    <t>Correct?</t>
  </si>
  <si>
    <t>New observation prediction example</t>
  </si>
  <si>
    <t>New chip ring</t>
  </si>
  <si>
    <t>LDA Calculations – Class Means, Covariances, Pooled Matrix, Inverse, and Scores</t>
  </si>
  <si>
    <t>Mean X1</t>
  </si>
  <si>
    <t>Mean X2</t>
  </si>
  <si>
    <t>Prior</t>
  </si>
  <si>
    <t>Global Mean (Reference Only)</t>
  </si>
  <si>
    <t>X1</t>
  </si>
  <si>
    <t>X2</t>
  </si>
  <si>
    <t>Score coeff X1</t>
  </si>
  <si>
    <t>Score coeff X2</t>
  </si>
  <si>
    <t>Score intercept</t>
  </si>
  <si>
    <t>Do NOT use the global mean to compute within-class covariance.</t>
  </si>
  <si>
    <t>Class 1 covariance C1</t>
  </si>
  <si>
    <t>Formula convention: divide by n1</t>
  </si>
  <si>
    <t>Class 2 covariance C2</t>
  </si>
  <si>
    <t>Formula convention: divide by n2</t>
  </si>
  <si>
    <t>Pooled within-class covariance C (= S_W)</t>
  </si>
  <si>
    <t>(n1*C1+n2*C2)/(n1+n2)</t>
  </si>
  <si>
    <t>Inverse pooled covariance C^-1</t>
  </si>
  <si>
    <t>2×2 inverse</t>
  </si>
  <si>
    <t>Determinant</t>
  </si>
  <si>
    <t>μ1</t>
  </si>
  <si>
    <t>μ2</t>
  </si>
  <si>
    <t>a1 = (C^-1 μ)_1</t>
  </si>
  <si>
    <t>a2 = (C^-1 μ)_2</t>
  </si>
  <si>
    <t>μᵀC^-1μ</t>
  </si>
  <si>
    <t>Intercept</t>
  </si>
  <si>
    <t>Decision boundary: Class 2 vs Class 1</t>
  </si>
  <si>
    <t>Weight X1</t>
  </si>
  <si>
    <t>Weight X2</t>
  </si>
  <si>
    <t>Threshold</t>
  </si>
  <si>
    <t>Rule</t>
  </si>
  <si>
    <t>Interpretation</t>
  </si>
  <si>
    <t>Threshold + Weight1*X1 + Weight2*X2 = 0</t>
  </si>
  <si>
    <t>Score &gt; 0 → Class 2; Score &lt; 0 → Class 1</t>
  </si>
  <si>
    <t>Training Accuracy</t>
  </si>
  <si>
    <t>Correct</t>
  </si>
  <si>
    <t>Total</t>
  </si>
  <si>
    <t>Accuracy</t>
  </si>
  <si>
    <t>What Was Repaired and Why</t>
  </si>
  <si>
    <t>Issue in the old spreadsheet</t>
  </si>
  <si>
    <t>It mean-centered each class using the overall/global mean before forming the matrices called class covariances.</t>
  </si>
  <si>
    <t>Correct LDA procedure</t>
  </si>
  <si>
    <t>For within-class covariance, center Class 1 on μ1 and Class 2 on μ2.</t>
  </si>
  <si>
    <t>Global mean</t>
  </si>
  <si>
    <t>The global mean is still useful for between-class scatter, Fisher-LDA derivations, and descriptive reference, but not for S_W.</t>
  </si>
  <si>
    <t>Covariance convention retained</t>
  </si>
  <si>
    <t>To remain consistent with the classroom tutorial, each class covariance is divided by n_i (not n_i−1).</t>
  </si>
  <si>
    <t>Pooled covariance</t>
  </si>
  <si>
    <t>C = (n1*C1 + n2*C2)/(n1+n2).</t>
  </si>
  <si>
    <t>Discriminant score</t>
  </si>
  <si>
    <t>f_i(x) = μ_i^T C^-1 x − 1/2 μ_i^T C^-1 μ_i + ln(p_i). Assign x to the class with the larger score.</t>
  </si>
  <si>
    <t>Prediction example</t>
  </si>
  <si>
    <t>For x = (2.81, 5.46), the corrected LDA still predicts Class 2 (Not Passed), but the intermediate covariance and score values are now mathematically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</si>
</sst>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5">
    <font>
      <sz val="11"/>
      <name val="Carlito"/>
    </font>
    <font>
      <b/>
      <sz val="16"/>
      <color rgb="FFFFFFFF"/>
      <name val="Carlito"/>
    </font>
    <font>
      <sz val="11"/>
      <color rgb="FF7F6000"/>
      <name val="Carlito"/>
    </font>
    <font>
      <b/>
      <sz val="11"/>
      <color rgb="FF000000"/>
      <name val="Carlito"/>
    </font>
    <font>
      <b/>
      <sz val="11"/>
      <color rgb="FF1F293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E3192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3" fillId="4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4" fillId="5" borderId="0" xfId="0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selection activeCell="I6" sqref="I6"/>
    </sheetView>
  </sheetViews>
  <sheetFormatPr baseColWidth="10" defaultColWidth="8.83203125" defaultRowHeight="14"/>
  <cols>
    <col min="1" max="1" width="16" customWidth="1"/>
    <col min="2" max="13" width="14" customWidth="1"/>
    <col min="14" max="14" width="16" customWidth="1"/>
  </cols>
  <sheetData>
    <row r="1" spans="1:14" ht="2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ht="15">
      <c r="A6" s="4">
        <v>1</v>
      </c>
      <c r="B6" s="5">
        <v>2.95</v>
      </c>
      <c r="C6" s="5">
        <v>6.63</v>
      </c>
      <c r="D6" s="5">
        <f>IF(A6=1,Calculations!$B$4,Calculations!$B$5)</f>
        <v>3.0525000000000002</v>
      </c>
      <c r="E6" s="5">
        <f>IF(A6=1,Calculations!$C$4,Calculations!$C$5)</f>
        <v>6.3849999999999998</v>
      </c>
      <c r="F6" s="5">
        <f t="shared" ref="F6:G12" si="0">B6-D6</f>
        <v>-0.10250000000000004</v>
      </c>
      <c r="G6" s="5">
        <f t="shared" si="0"/>
        <v>0.24500000000000011</v>
      </c>
      <c r="H6" s="5">
        <f t="shared" ref="H6:H12" si="1">F6*F6</f>
        <v>1.0506250000000007E-2</v>
      </c>
      <c r="I6" s="5">
        <f t="shared" ref="I6:I12" si="2">F6*G6</f>
        <v>-2.511250000000002E-2</v>
      </c>
      <c r="J6" s="5">
        <f t="shared" ref="J6:J12" si="3">G6*G6</f>
        <v>6.0025000000000051E-2</v>
      </c>
      <c r="K6" s="5">
        <f>Calculations!$K$4*B6+Calculations!$L$4*C6+Calculations!$M$4</f>
        <v>615.99711742343879</v>
      </c>
      <c r="L6" s="5">
        <f>Calculations!$K$5*B6+Calculations!$L$5*C6+Calculations!$M$5</f>
        <v>594.15424385216784</v>
      </c>
      <c r="M6" s="4">
        <f t="shared" ref="M6:M12" si="4">IF(K6&gt;L6,1,2)</f>
        <v>1</v>
      </c>
      <c r="N6" s="2" t="str">
        <f t="shared" ref="N6:N12" si="5">IF(M6=A6,"Yes","No")</f>
        <v>Yes</v>
      </c>
    </row>
    <row r="7" spans="1:14" ht="15">
      <c r="A7" s="4">
        <v>1</v>
      </c>
      <c r="B7" s="5">
        <v>2.5299999999999998</v>
      </c>
      <c r="C7" s="5">
        <v>7.79</v>
      </c>
      <c r="D7" s="5">
        <f>IF(A7=1,Calculations!$B$4,Calculations!$B$5)</f>
        <v>3.0525000000000002</v>
      </c>
      <c r="E7" s="5">
        <f>IF(A7=1,Calculations!$C$4,Calculations!$C$5)</f>
        <v>6.3849999999999998</v>
      </c>
      <c r="F7" s="5">
        <f t="shared" si="0"/>
        <v>-0.52250000000000041</v>
      </c>
      <c r="G7" s="5">
        <f t="shared" si="0"/>
        <v>1.4050000000000002</v>
      </c>
      <c r="H7" s="5">
        <f t="shared" si="1"/>
        <v>0.27300625000000045</v>
      </c>
      <c r="I7" s="5">
        <f t="shared" si="2"/>
        <v>-0.73411250000000072</v>
      </c>
      <c r="J7" s="5">
        <f t="shared" si="3"/>
        <v>1.9740250000000008</v>
      </c>
      <c r="K7" s="5">
        <f>Calculations!$K$4*B7+Calculations!$L$4*C7+Calculations!$M$4</f>
        <v>626.91526619082219</v>
      </c>
      <c r="L7" s="5">
        <f>Calculations!$K$5*B7+Calculations!$L$5*C7+Calculations!$M$5</f>
        <v>602.52306778267211</v>
      </c>
      <c r="M7" s="4">
        <f t="shared" si="4"/>
        <v>1</v>
      </c>
      <c r="N7" s="2" t="str">
        <f t="shared" si="5"/>
        <v>Yes</v>
      </c>
    </row>
    <row r="8" spans="1:14" ht="15">
      <c r="A8" s="4">
        <v>1</v>
      </c>
      <c r="B8" s="5">
        <v>3.57</v>
      </c>
      <c r="C8" s="5">
        <v>5.65</v>
      </c>
      <c r="D8" s="5">
        <f>IF(A8=1,Calculations!$B$4,Calculations!$B$5)</f>
        <v>3.0525000000000002</v>
      </c>
      <c r="E8" s="5">
        <f>IF(A8=1,Calculations!$C$4,Calculations!$C$5)</f>
        <v>6.3849999999999998</v>
      </c>
      <c r="F8" s="5">
        <f t="shared" si="0"/>
        <v>0.51749999999999963</v>
      </c>
      <c r="G8" s="5">
        <f t="shared" si="0"/>
        <v>-0.73499999999999943</v>
      </c>
      <c r="H8" s="5">
        <f t="shared" si="1"/>
        <v>0.26780624999999963</v>
      </c>
      <c r="I8" s="5">
        <f t="shared" si="2"/>
        <v>-0.38036249999999944</v>
      </c>
      <c r="J8" s="5">
        <f t="shared" si="3"/>
        <v>0.54022499999999918</v>
      </c>
      <c r="K8" s="5">
        <f>Calculations!$K$4*B8+Calculations!$L$4*C8+Calculations!$M$4</f>
        <v>664.82912936215962</v>
      </c>
      <c r="L8" s="5">
        <f>Calculations!$K$5*B8+Calculations!$L$5*C8+Calculations!$M$5</f>
        <v>634.45339867238249</v>
      </c>
      <c r="M8" s="4">
        <f t="shared" si="4"/>
        <v>1</v>
      </c>
      <c r="N8" s="2" t="str">
        <f t="shared" si="5"/>
        <v>Yes</v>
      </c>
    </row>
    <row r="9" spans="1:14" ht="15">
      <c r="A9" s="4">
        <v>1</v>
      </c>
      <c r="B9" s="5">
        <v>3.16</v>
      </c>
      <c r="C9" s="5">
        <v>5.47</v>
      </c>
      <c r="D9" s="5">
        <f>IF(A9=1,Calculations!$B$4,Calculations!$B$5)</f>
        <v>3.0525000000000002</v>
      </c>
      <c r="E9" s="5">
        <f>IF(A9=1,Calculations!$C$4,Calculations!$C$5)</f>
        <v>6.3849999999999998</v>
      </c>
      <c r="F9" s="5">
        <f t="shared" si="0"/>
        <v>0.10749999999999993</v>
      </c>
      <c r="G9" s="5">
        <f t="shared" si="0"/>
        <v>-0.91500000000000004</v>
      </c>
      <c r="H9" s="5">
        <f t="shared" si="1"/>
        <v>1.1556249999999985E-2</v>
      </c>
      <c r="I9" s="5">
        <f t="shared" si="2"/>
        <v>-9.8362499999999936E-2</v>
      </c>
      <c r="J9" s="5">
        <f t="shared" si="3"/>
        <v>0.83722500000000011</v>
      </c>
      <c r="K9" s="5">
        <f>Calculations!$K$4*B9+Calculations!$L$4*C9+Calculations!$M$4</f>
        <v>559.10226799090651</v>
      </c>
      <c r="L9" s="5">
        <f>Calculations!$K$5*B9+Calculations!$L$5*C9+Calculations!$M$5</f>
        <v>548.27183708973166</v>
      </c>
      <c r="M9" s="4">
        <f t="shared" si="4"/>
        <v>1</v>
      </c>
      <c r="N9" s="2" t="str">
        <f t="shared" si="5"/>
        <v>Yes</v>
      </c>
    </row>
    <row r="10" spans="1:14" ht="15">
      <c r="A10" s="4">
        <v>2</v>
      </c>
      <c r="B10" s="5">
        <v>2.58</v>
      </c>
      <c r="C10" s="5">
        <v>4.46</v>
      </c>
      <c r="D10" s="5">
        <f>IF(A10=1,Calculations!$B$4,Calculations!$B$5)</f>
        <v>2.67</v>
      </c>
      <c r="E10" s="5">
        <f>IF(A10=1,Calculations!$C$4,Calculations!$C$5)</f>
        <v>4.7333333333333334</v>
      </c>
      <c r="F10" s="5">
        <f t="shared" si="0"/>
        <v>-8.9999999999999858E-2</v>
      </c>
      <c r="G10" s="5">
        <f t="shared" si="0"/>
        <v>-0.27333333333333343</v>
      </c>
      <c r="H10" s="5">
        <f t="shared" si="1"/>
        <v>8.0999999999999753E-3</v>
      </c>
      <c r="I10" s="5">
        <f t="shared" si="2"/>
        <v>2.4599999999999969E-2</v>
      </c>
      <c r="J10" s="5">
        <f t="shared" si="3"/>
        <v>7.4711111111111159E-2</v>
      </c>
      <c r="K10" s="5">
        <f>Calculations!$K$4*B10+Calculations!$L$4*C10+Calculations!$M$4</f>
        <v>342.54980500555939</v>
      </c>
      <c r="L10" s="5">
        <f>Calculations!$K$5*B10+Calculations!$L$5*C10+Calculations!$M$5</f>
        <v>372.05086860742841</v>
      </c>
      <c r="M10" s="4">
        <f t="shared" si="4"/>
        <v>2</v>
      </c>
      <c r="N10" s="2" t="str">
        <f t="shared" si="5"/>
        <v>Yes</v>
      </c>
    </row>
    <row r="11" spans="1:14" ht="15">
      <c r="A11" s="4">
        <v>2</v>
      </c>
      <c r="B11" s="5">
        <v>2.16</v>
      </c>
      <c r="C11" s="5">
        <v>6.22</v>
      </c>
      <c r="D11" s="5">
        <f>IF(A11=1,Calculations!$B$4,Calculations!$B$5)</f>
        <v>2.67</v>
      </c>
      <c r="E11" s="5">
        <f>IF(A11=1,Calculations!$C$4,Calculations!$C$5)</f>
        <v>4.7333333333333334</v>
      </c>
      <c r="F11" s="5">
        <f t="shared" si="0"/>
        <v>-0.50999999999999979</v>
      </c>
      <c r="G11" s="5">
        <f t="shared" si="0"/>
        <v>1.4866666666666664</v>
      </c>
      <c r="H11" s="5">
        <f t="shared" si="1"/>
        <v>0.26009999999999978</v>
      </c>
      <c r="I11" s="5">
        <f t="shared" si="2"/>
        <v>-0.75819999999999954</v>
      </c>
      <c r="J11" s="5">
        <f t="shared" si="3"/>
        <v>2.2101777777777767</v>
      </c>
      <c r="K11" s="5">
        <f>Calculations!$K$4*B11+Calculations!$L$4*C11+Calculations!$M$4</f>
        <v>406.67737623726089</v>
      </c>
      <c r="L11" s="5">
        <f>Calculations!$K$5*B11+Calculations!$L$5*C11+Calculations!$M$5</f>
        <v>423.55554922467485</v>
      </c>
      <c r="M11" s="4">
        <f t="shared" si="4"/>
        <v>2</v>
      </c>
      <c r="N11" s="2" t="str">
        <f t="shared" si="5"/>
        <v>Yes</v>
      </c>
    </row>
    <row r="12" spans="1:14" ht="15">
      <c r="A12" s="4">
        <v>2</v>
      </c>
      <c r="B12" s="5">
        <v>3.27</v>
      </c>
      <c r="C12" s="5">
        <v>3.52</v>
      </c>
      <c r="D12" s="5">
        <f>IF(A12=1,Calculations!$B$4,Calculations!$B$5)</f>
        <v>2.67</v>
      </c>
      <c r="E12" s="5">
        <f>IF(A12=1,Calculations!$C$4,Calculations!$C$5)</f>
        <v>4.7333333333333334</v>
      </c>
      <c r="F12" s="5">
        <f t="shared" si="0"/>
        <v>0.60000000000000009</v>
      </c>
      <c r="G12" s="5">
        <f t="shared" si="0"/>
        <v>-1.2133333333333334</v>
      </c>
      <c r="H12" s="5">
        <f t="shared" si="1"/>
        <v>0.3600000000000001</v>
      </c>
      <c r="I12" s="5">
        <f t="shared" si="2"/>
        <v>-0.72800000000000009</v>
      </c>
      <c r="J12" s="5">
        <f t="shared" si="3"/>
        <v>1.4721777777777778</v>
      </c>
      <c r="K12" s="5">
        <f>Calculations!$K$4*B12+Calculations!$L$4*C12+Calculations!$M$4</f>
        <v>410.2546786636176</v>
      </c>
      <c r="L12" s="5">
        <f>Calculations!$K$5*B12+Calculations!$L$5*C12+Calculations!$M$5</f>
        <v>427.73027481740343</v>
      </c>
      <c r="M12" s="4">
        <f t="shared" si="4"/>
        <v>2</v>
      </c>
      <c r="N12" s="2" t="str">
        <f t="shared" si="5"/>
        <v>Yes</v>
      </c>
    </row>
    <row r="13" spans="1:14">
      <c r="A13" s="2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4"/>
      <c r="N13" s="2"/>
    </row>
    <row r="14" spans="1:14" ht="15">
      <c r="A14" s="10" t="s">
        <v>16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  <c r="N14" s="10"/>
    </row>
    <row r="15" spans="1:14" ht="15">
      <c r="A15" s="2" t="s">
        <v>17</v>
      </c>
      <c r="B15" s="5">
        <v>2.81</v>
      </c>
      <c r="C15" s="5">
        <v>5.46</v>
      </c>
      <c r="D15" s="5"/>
      <c r="E15" s="5"/>
      <c r="F15" s="5"/>
      <c r="G15" s="5"/>
      <c r="H15" s="5"/>
      <c r="I15" s="5"/>
      <c r="J15" s="5"/>
      <c r="K15" s="5">
        <f>Calculations!$K$4*B15+Calculations!$L$4*C15+Calculations!$M$4</f>
        <v>481.58760984125274</v>
      </c>
      <c r="L15" s="5">
        <f>Calculations!$K$5*B15+Calculations!$L$5*C15+Calculations!$M$5</f>
        <v>485.03026809173303</v>
      </c>
      <c r="M15" s="4">
        <f>IF(K15&gt;L15,1,2)</f>
        <v>2</v>
      </c>
      <c r="N15" s="2" t="str">
        <f>IF(M15=1,"Passed","Not Passed")</f>
        <v>Not Passed</v>
      </c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3">
    <mergeCell ref="A1:N1"/>
    <mergeCell ref="A2:N2"/>
    <mergeCell ref="A14:N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tabSelected="1" workbookViewId="0">
      <selection activeCell="A24" sqref="A24"/>
    </sheetView>
  </sheetViews>
  <sheetFormatPr baseColWidth="10" defaultColWidth="8.83203125" defaultRowHeight="14"/>
  <cols>
    <col min="1" max="1" width="28" customWidth="1"/>
    <col min="2" max="5" width="16" customWidth="1"/>
    <col min="6" max="6" width="30" customWidth="1"/>
    <col min="7" max="13" width="16" customWidth="1"/>
  </cols>
  <sheetData>
    <row r="1" spans="1:14" ht="2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6">
      <c r="A3" s="1" t="s">
        <v>2</v>
      </c>
      <c r="B3" s="1" t="s">
        <v>19</v>
      </c>
      <c r="C3" s="1" t="s">
        <v>20</v>
      </c>
      <c r="D3" s="1" t="s">
        <v>21</v>
      </c>
      <c r="E3" s="2"/>
      <c r="F3" s="1" t="s">
        <v>22</v>
      </c>
      <c r="G3" s="1" t="s">
        <v>23</v>
      </c>
      <c r="H3" s="1" t="s">
        <v>24</v>
      </c>
      <c r="I3" s="2"/>
      <c r="J3" s="2"/>
      <c r="K3" s="1" t="s">
        <v>25</v>
      </c>
      <c r="L3" s="1" t="s">
        <v>26</v>
      </c>
      <c r="M3" s="1" t="s">
        <v>27</v>
      </c>
      <c r="N3" s="2"/>
    </row>
    <row r="4" spans="1:14">
      <c r="A4" s="2">
        <v>1</v>
      </c>
      <c r="B4" s="6">
        <f>AVERAGE('LDA Corrected'!B6:B9)</f>
        <v>3.0525000000000002</v>
      </c>
      <c r="C4" s="6">
        <f>AVERAGE('LDA Corrected'!C6:C9)</f>
        <v>6.3849999999999998</v>
      </c>
      <c r="D4" s="5">
        <f>COUNT('LDA Corrected'!A6:A9)/COUNT('LDA Corrected'!A6:A12)</f>
        <v>0.5714285714285714</v>
      </c>
      <c r="E4" s="6"/>
      <c r="F4" s="6"/>
      <c r="G4" s="6">
        <f>AVERAGE('LDA Corrected'!B6:B12)</f>
        <v>2.8885714285714288</v>
      </c>
      <c r="H4" s="6">
        <f>AVERAGE('LDA Corrected'!C6:C12)</f>
        <v>5.677142857142857</v>
      </c>
      <c r="I4" s="6"/>
      <c r="J4" s="6"/>
      <c r="K4" s="6">
        <f>E19</f>
        <v>218.93666983404313</v>
      </c>
      <c r="L4" s="6">
        <f>F19</f>
        <v>88.682370773863369</v>
      </c>
      <c r="M4" s="6">
        <f>H19</f>
        <v>-617.83017681770252</v>
      </c>
      <c r="N4" s="2"/>
    </row>
    <row r="5" spans="1:14">
      <c r="A5" s="2">
        <v>2</v>
      </c>
      <c r="B5" s="6">
        <f>AVERAGE('LDA Corrected'!B10:B12)</f>
        <v>2.67</v>
      </c>
      <c r="C5" s="6">
        <f>AVERAGE('LDA Corrected'!C10:C12)</f>
        <v>4.7333333333333334</v>
      </c>
      <c r="D5" s="5">
        <f>COUNT('LDA Corrected'!A10:A12)/COUNT('LDA Corrected'!A6:A12)</f>
        <v>0.42857142857142855</v>
      </c>
      <c r="E5" s="6"/>
      <c r="F5" s="13" t="s">
        <v>28</v>
      </c>
      <c r="G5" s="13"/>
      <c r="H5" s="13"/>
      <c r="I5" s="6"/>
      <c r="J5" s="6"/>
      <c r="K5" s="6">
        <f>E20</f>
        <v>178.63610872348423</v>
      </c>
      <c r="L5" s="6">
        <f>F20</f>
        <v>71.893094477903333</v>
      </c>
      <c r="M5" s="6">
        <f>H20</f>
        <v>-409.47349327060982</v>
      </c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48">
      <c r="A8" s="1" t="s">
        <v>29</v>
      </c>
      <c r="B8" s="1" t="s">
        <v>23</v>
      </c>
      <c r="C8" s="1" t="s">
        <v>24</v>
      </c>
      <c r="D8" s="1" t="s">
        <v>30</v>
      </c>
      <c r="E8" s="2"/>
      <c r="F8" s="1" t="s">
        <v>31</v>
      </c>
      <c r="G8" s="1" t="s">
        <v>23</v>
      </c>
      <c r="H8" s="1" t="s">
        <v>24</v>
      </c>
      <c r="I8" s="1" t="s">
        <v>32</v>
      </c>
      <c r="J8" s="2"/>
      <c r="K8" s="2"/>
      <c r="L8" s="2"/>
      <c r="M8" s="2"/>
      <c r="N8" s="2"/>
    </row>
    <row r="9" spans="1:14" ht="15">
      <c r="A9" s="2" t="s">
        <v>23</v>
      </c>
      <c r="B9" s="6">
        <f>SUM('LDA Corrected'!H6:H9)/COUNT('LDA Corrected'!A6:A9)</f>
        <v>0.14071875</v>
      </c>
      <c r="C9" s="6">
        <f>SUM('LDA Corrected'!I6:I9)/COUNT('LDA Corrected'!A6:A9)</f>
        <v>-0.30948750000000003</v>
      </c>
      <c r="D9" s="2"/>
      <c r="E9" s="2"/>
      <c r="F9" s="2" t="s">
        <v>23</v>
      </c>
      <c r="G9" s="6">
        <f>SUM('LDA Corrected'!H10:H12)/COUNT('LDA Corrected'!A10:A12)</f>
        <v>0.20939999999999995</v>
      </c>
      <c r="H9" s="6">
        <f>SUM('LDA Corrected'!I10:I12)/COUNT('LDA Corrected'!A10:A12)</f>
        <v>-0.48719999999999991</v>
      </c>
      <c r="I9" s="2"/>
      <c r="J9" s="2"/>
      <c r="K9" s="2"/>
      <c r="L9" s="2"/>
      <c r="M9" s="2"/>
      <c r="N9" s="2"/>
    </row>
    <row r="10" spans="1:14" ht="15">
      <c r="A10" s="2" t="s">
        <v>24</v>
      </c>
      <c r="B10" s="6">
        <f>C9</f>
        <v>-0.30948750000000003</v>
      </c>
      <c r="C10" s="6">
        <f>SUM('LDA Corrected'!J6:J9)/COUNT('LDA Corrected'!A6:A9)</f>
        <v>0.85287500000000005</v>
      </c>
      <c r="D10" s="2"/>
      <c r="E10" s="2"/>
      <c r="F10" s="2" t="s">
        <v>24</v>
      </c>
      <c r="G10" s="6">
        <f>H9</f>
        <v>-0.48719999999999991</v>
      </c>
      <c r="H10" s="6">
        <f>SUM('LDA Corrected'!J10:J12)/COUNT('LDA Corrected'!A10:A12)</f>
        <v>1.2523555555555552</v>
      </c>
      <c r="I10" s="2"/>
      <c r="J10" s="2"/>
      <c r="K10" s="2"/>
      <c r="L10" s="2"/>
      <c r="M10" s="2"/>
      <c r="N10" s="2"/>
    </row>
    <row r="11" spans="1:14">
      <c r="A11" s="2"/>
      <c r="B11" s="6"/>
      <c r="C11" s="6"/>
      <c r="D11" s="2"/>
      <c r="E11" s="2"/>
      <c r="F11" s="2"/>
      <c r="G11" s="6"/>
      <c r="H11" s="6"/>
      <c r="I11" s="2"/>
      <c r="J11" s="2"/>
      <c r="K11" s="2"/>
      <c r="L11" s="2"/>
      <c r="M11" s="2"/>
      <c r="N11" s="2"/>
    </row>
    <row r="12" spans="1:14">
      <c r="A12" s="2"/>
      <c r="B12" s="6"/>
      <c r="C12" s="6"/>
      <c r="D12" s="2"/>
      <c r="E12" s="2"/>
      <c r="F12" s="2"/>
      <c r="G12" s="6"/>
      <c r="H12" s="6"/>
      <c r="I12" s="2"/>
      <c r="J12" s="2"/>
      <c r="K12" s="2"/>
      <c r="L12" s="2"/>
      <c r="M12" s="2"/>
      <c r="N12" s="2"/>
    </row>
    <row r="13" spans="1:14" ht="32">
      <c r="A13" s="1" t="s">
        <v>33</v>
      </c>
      <c r="B13" s="3" t="s">
        <v>23</v>
      </c>
      <c r="C13" s="3" t="s">
        <v>24</v>
      </c>
      <c r="D13" s="1" t="s">
        <v>34</v>
      </c>
      <c r="E13" s="2"/>
      <c r="F13" s="1" t="s">
        <v>35</v>
      </c>
      <c r="G13" s="3" t="s">
        <v>23</v>
      </c>
      <c r="H13" s="3" t="s">
        <v>24</v>
      </c>
      <c r="I13" s="1" t="s">
        <v>36</v>
      </c>
      <c r="J13" s="1" t="s">
        <v>37</v>
      </c>
      <c r="K13" s="2"/>
      <c r="L13" s="2"/>
      <c r="M13" s="2"/>
      <c r="N13" s="2"/>
    </row>
    <row r="14" spans="1:14" ht="15">
      <c r="A14" s="2" t="s">
        <v>23</v>
      </c>
      <c r="B14" s="6">
        <f>(COUNT('LDA Corrected'!A6:A9)*B9+COUNT('LDA Corrected'!A10:A12)*G9)/COUNT('LDA Corrected'!A6:A12)</f>
        <v>0.1701535714285714</v>
      </c>
      <c r="C14" s="6">
        <f>(COUNT('LDA Corrected'!A6:A9)*C9+COUNT('LDA Corrected'!A10:A12)*H9)/COUNT('LDA Corrected'!A6:A12)</f>
        <v>-0.38564999999999999</v>
      </c>
      <c r="D14" s="2"/>
      <c r="E14" s="2"/>
      <c r="F14" s="2" t="s">
        <v>23</v>
      </c>
      <c r="G14" s="6">
        <f>C15/$J$14</f>
        <v>40.120532029843261</v>
      </c>
      <c r="H14" s="6">
        <f>-C14/$J$14</f>
        <v>15.10865243742311</v>
      </c>
      <c r="I14" s="2"/>
      <c r="J14" s="6">
        <f>B14*C15-C14*B15</f>
        <v>2.5525108979591787E-2</v>
      </c>
      <c r="K14" s="2"/>
      <c r="L14" s="2"/>
      <c r="M14" s="2"/>
      <c r="N14" s="2"/>
    </row>
    <row r="15" spans="1:14" ht="15">
      <c r="A15" s="2" t="s">
        <v>24</v>
      </c>
      <c r="B15" s="6">
        <f>C14</f>
        <v>-0.38564999999999999</v>
      </c>
      <c r="C15" s="6">
        <f>(COUNT('LDA Corrected'!A6:A9)*C10+COUNT('LDA Corrected'!A10:A12)*H10)/COUNT('LDA Corrected'!A6:A12)</f>
        <v>1.0240809523809522</v>
      </c>
      <c r="D15" s="2"/>
      <c r="E15" s="2"/>
      <c r="F15" s="2" t="s">
        <v>24</v>
      </c>
      <c r="G15" s="6">
        <f>-B15/$J$14</f>
        <v>15.10865243742311</v>
      </c>
      <c r="H15" s="6">
        <f>B14/$J$14</f>
        <v>6.666125169714852</v>
      </c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6">
      <c r="A18" s="1" t="s">
        <v>2</v>
      </c>
      <c r="B18" s="1" t="s">
        <v>38</v>
      </c>
      <c r="C18" s="1" t="s">
        <v>39</v>
      </c>
      <c r="D18" s="1" t="s">
        <v>21</v>
      </c>
      <c r="E18" s="1" t="s">
        <v>40</v>
      </c>
      <c r="F18" s="1" t="s">
        <v>41</v>
      </c>
      <c r="G18" s="1" t="s">
        <v>42</v>
      </c>
      <c r="H18" s="1" t="s">
        <v>43</v>
      </c>
      <c r="I18" s="1"/>
      <c r="J18" s="1"/>
      <c r="K18" s="1" t="s">
        <v>25</v>
      </c>
      <c r="L18" s="1" t="s">
        <v>26</v>
      </c>
      <c r="M18" s="1" t="s">
        <v>27</v>
      </c>
      <c r="N18" s="2"/>
    </row>
    <row r="19" spans="1:14">
      <c r="A19" s="2">
        <f t="shared" ref="A19:D20" si="0">A4</f>
        <v>1</v>
      </c>
      <c r="B19" s="6">
        <f>B4</f>
        <v>3.0525000000000002</v>
      </c>
      <c r="C19" s="6">
        <f t="shared" si="0"/>
        <v>6.3849999999999998</v>
      </c>
      <c r="D19" s="6">
        <f t="shared" si="0"/>
        <v>0.5714285714285714</v>
      </c>
      <c r="E19" s="6">
        <f>$G$14*B19+$H$14*C19</f>
        <v>218.93666983404313</v>
      </c>
      <c r="F19" s="6">
        <f>$G$15*B19+$H$15*C19</f>
        <v>88.682370773863369</v>
      </c>
      <c r="G19" s="6">
        <f>B19*E19+C19*F19</f>
        <v>1234.5411220595342</v>
      </c>
      <c r="H19" s="6">
        <f>-0.5*G19+LN(D19)</f>
        <v>-617.83017681770252</v>
      </c>
      <c r="I19" s="2"/>
      <c r="J19" s="2"/>
      <c r="K19" s="2"/>
      <c r="L19" s="2"/>
      <c r="M19" s="2"/>
      <c r="N19" s="2"/>
    </row>
    <row r="20" spans="1:14">
      <c r="A20" s="2">
        <f t="shared" si="0"/>
        <v>2</v>
      </c>
      <c r="B20" s="6">
        <f t="shared" si="0"/>
        <v>2.67</v>
      </c>
      <c r="C20" s="6">
        <f t="shared" si="0"/>
        <v>4.7333333333333334</v>
      </c>
      <c r="D20" s="6">
        <f t="shared" si="0"/>
        <v>0.42857142857142855</v>
      </c>
      <c r="E20" s="6">
        <f>$G$14*B20+$H$14*C20</f>
        <v>178.63610872348423</v>
      </c>
      <c r="F20" s="6">
        <f>$G$15*B20+$H$15*C20</f>
        <v>71.893094477903333</v>
      </c>
      <c r="G20" s="6">
        <f>B20*E20+C20*F20</f>
        <v>817.25239082044527</v>
      </c>
      <c r="H20" s="6">
        <f>-0.5*G20+LN(D20)</f>
        <v>-409.47349327060982</v>
      </c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32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2"/>
      <c r="H23" s="2"/>
      <c r="I23" s="2"/>
      <c r="J23" s="2"/>
      <c r="K23" s="2"/>
      <c r="L23" s="2"/>
      <c r="M23" s="2"/>
      <c r="N23" s="2"/>
    </row>
    <row r="24" spans="1:14" ht="45">
      <c r="A24" s="2"/>
      <c r="B24" s="6">
        <f>K5-K4</f>
        <v>-40.300561110558903</v>
      </c>
      <c r="C24" s="6">
        <f>L5-L4</f>
        <v>-16.789276295960036</v>
      </c>
      <c r="D24" s="6">
        <f>M5-M4</f>
        <v>208.3566835470927</v>
      </c>
      <c r="E24" s="2" t="s">
        <v>50</v>
      </c>
      <c r="F24" s="2" t="s">
        <v>51</v>
      </c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6">
      <c r="A27" s="1" t="s">
        <v>52</v>
      </c>
      <c r="B27" s="1" t="s">
        <v>53</v>
      </c>
      <c r="C27" s="1" t="s">
        <v>54</v>
      </c>
      <c r="D27" s="1" t="s">
        <v>55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>
        <f>COUNTIF('LDA Corrected'!N6:N12,"Yes")</f>
        <v>7</v>
      </c>
      <c r="C28" s="2">
        <f>COUNT('LDA Corrected'!A6:A12)</f>
        <v>7</v>
      </c>
      <c r="D28" s="7">
        <f>B28/C28</f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2">
    <mergeCell ref="A1:M1"/>
    <mergeCell ref="F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workbookViewId="0">
      <selection sqref="A1:H1"/>
    </sheetView>
  </sheetViews>
  <sheetFormatPr baseColWidth="10" defaultColWidth="8.83203125" defaultRowHeight="14"/>
  <cols>
    <col min="1" max="1" width="28" customWidth="1"/>
    <col min="2" max="2" width="72" customWidth="1"/>
  </cols>
  <sheetData>
    <row r="1" spans="1:14" ht="21">
      <c r="A1" s="8" t="s">
        <v>56</v>
      </c>
      <c r="B1" s="8"/>
      <c r="C1" s="8"/>
      <c r="D1" s="8"/>
      <c r="E1" s="8"/>
      <c r="F1" s="8"/>
      <c r="G1" s="8"/>
      <c r="H1" s="8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0">
      <c r="A3" s="1" t="s">
        <v>57</v>
      </c>
      <c r="B3" s="2" t="s">
        <v>58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6">
      <c r="A4" s="1" t="s">
        <v>59</v>
      </c>
      <c r="B4" s="2" t="s">
        <v>60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0">
      <c r="A5" s="1" t="s">
        <v>61</v>
      </c>
      <c r="B5" s="2" t="s">
        <v>62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32">
      <c r="A6" s="1" t="s">
        <v>63</v>
      </c>
      <c r="B6" s="2" t="s">
        <v>64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6">
      <c r="A7" s="1" t="s">
        <v>65</v>
      </c>
      <c r="B7" s="2" t="s">
        <v>66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30">
      <c r="A8" s="1" t="s">
        <v>67</v>
      </c>
      <c r="B8" s="2" t="s">
        <v>68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30">
      <c r="A9" s="1" t="s">
        <v>69</v>
      </c>
      <c r="B9" s="2" t="s">
        <v>70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LDA Corrected</vt:lpstr>
      <vt:lpstr>Calculations</vt:lpstr>
      <vt:lpstr>Repair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Dutt, Varun (CWR)</cp:lastModifiedBy>
  <dcterms:modified xsi:type="dcterms:W3CDTF">2026-09-08T04:02:06Z</dcterms:modified>
</cp:coreProperties>
</file>